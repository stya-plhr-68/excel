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xWindow="0" yWindow="0" windowWidth="28830" windowHeight="12765" activeTab="1"/>
  </bookViews>
  <sheets>
    <sheet name="Αναφορά απάντησης 1" sheetId="3" r:id="rId1"/>
    <sheet name="Φύλλο1" sheetId="1" r:id="rId2"/>
    <sheet name="Φύλλο2" sheetId="2" r:id="rId3"/>
  </sheets>
  <definedNames>
    <definedName name="_xlnm._FilterDatabase" localSheetId="1" hidden="1">Φύλλο1!$A$1:$G$43</definedName>
    <definedName name="Cost">Πίνακας1[UnitCost]</definedName>
    <definedName name="_xlnm.Criteria" localSheetId="1">Φύλλο1!$O$28:$P$30</definedName>
    <definedName name="solver_adj" localSheetId="1" hidden="1">Φύλλο1!$K$48:$K$50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Φύλλο1!$K$48</definedName>
    <definedName name="solver_lhs2" localSheetId="1" hidden="1">Φύλλο1!$K$49</definedName>
    <definedName name="solver_lhs3" localSheetId="1" hidden="1">Φύλλο1!$K$50</definedName>
    <definedName name="solver_lhs4" localSheetId="1" hidden="1">Φύλλο1!$K$51</definedName>
    <definedName name="solver_lin" localSheetId="1" hidden="1">2</definedName>
    <definedName name="solver_neg" localSheetId="1" hidden="1">2</definedName>
    <definedName name="solver_num" localSheetId="1" hidden="1">4</definedName>
    <definedName name="solver_nwt" localSheetId="1" hidden="1">1</definedName>
    <definedName name="solver_opt" localSheetId="1" hidden="1">Φύλλο1!$O$51</definedName>
    <definedName name="solver_pre" localSheetId="1" hidden="1">0.000001</definedName>
    <definedName name="solver_rel1" localSheetId="1" hidden="1">3</definedName>
    <definedName name="solver_rel2" localSheetId="1" hidden="1">3</definedName>
    <definedName name="solver_rel3" localSheetId="1" hidden="1">3</definedName>
    <definedName name="solver_rel4" localSheetId="1" hidden="1">1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hs4" localSheetId="1" hidden="1">300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5000</definedName>
    <definedName name="UnitCost">Πίνακας1[UnitCost]</definedName>
  </definedNames>
  <calcPr calcId="124519"/>
  <pivotCaches>
    <pivotCache cacheId="1" r:id="rId4"/>
  </pivotCaches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1"/>
  <c r="N50"/>
  <c r="O50" s="1"/>
  <c r="N48"/>
  <c r="O49"/>
  <c r="O48"/>
  <c r="K51"/>
  <c r="T22"/>
  <c r="P29"/>
  <c r="O51" l="1"/>
</calcChain>
</file>

<file path=xl/sharedStrings.xml><?xml version="1.0" encoding="utf-8"?>
<sst xmlns="http://schemas.openxmlformats.org/spreadsheetml/2006/main" count="219" uniqueCount="93">
  <si>
    <t>OrderDate</t>
  </si>
  <si>
    <t>Region</t>
  </si>
  <si>
    <t>Rep</t>
  </si>
  <si>
    <t>Item</t>
  </si>
  <si>
    <t>Units</t>
  </si>
  <si>
    <t>UnitCost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</si>
  <si>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</si>
  <si>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</si>
  <si>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</si>
  <si>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</si>
  <si>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</si>
  <si>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</si>
  <si>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</si>
  <si>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</si>
  <si>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</si>
  <si>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</si>
  <si>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</si>
  <si>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</si>
  <si>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</si>
  <si>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</si>
  <si>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</si>
  <si>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</si>
  <si>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</si>
  <si>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</si>
  <si>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</si>
  <si>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</si>
  <si>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gtfghtg</t>
  </si>
  <si>
    <t>Unit&gt;Average</t>
  </si>
  <si>
    <t>Ιαν</t>
  </si>
  <si>
    <t>Φεβ</t>
  </si>
  <si>
    <t>Μαρ</t>
  </si>
  <si>
    <t>Απρ</t>
  </si>
  <si>
    <t>Μαϊ</t>
  </si>
  <si>
    <t>Ιουν</t>
  </si>
  <si>
    <t>Ιουλ</t>
  </si>
  <si>
    <t>Αυγ</t>
  </si>
  <si>
    <t>Σεπ</t>
  </si>
  <si>
    <t>Οκτ</t>
  </si>
  <si>
    <t>Νοε</t>
  </si>
  <si>
    <t>Δεκ</t>
  </si>
  <si>
    <t xml:space="preserve">Τotal Sales </t>
  </si>
  <si>
    <t>Στήλη1</t>
  </si>
  <si>
    <t>Έλεγχος t του μέσου δύο δειγμάτων συσχετισμένων ζευγών</t>
  </si>
  <si>
    <t>Μεταβλητή 1</t>
  </si>
  <si>
    <t>Μεταβλητή 2</t>
  </si>
  <si>
    <t>Μέσος</t>
  </si>
  <si>
    <t>Διακύμανση</t>
  </si>
  <si>
    <t>Μέγεθος δείγματος</t>
  </si>
  <si>
    <t>Συσχέτιση Pearson</t>
  </si>
  <si>
    <t>Υποτιθέμενη διαφορά μέσων</t>
  </si>
  <si>
    <t>βαθμοί ελευθερίας</t>
  </si>
  <si>
    <t>t</t>
  </si>
  <si>
    <t>P(T&lt;=t) μονόπλευρη</t>
  </si>
  <si>
    <t>t κρίσιμο, μονόπλευρο</t>
  </si>
  <si>
    <t>P(T&lt;=t) δίπλευρη</t>
  </si>
  <si>
    <t>t κρίσιμο, δίπλευρο</t>
  </si>
  <si>
    <t>Sale price</t>
  </si>
  <si>
    <t>Profit</t>
  </si>
  <si>
    <t>Total profit</t>
  </si>
  <si>
    <t>Cost</t>
  </si>
  <si>
    <t>A</t>
  </si>
  <si>
    <t>B</t>
  </si>
  <si>
    <t>C</t>
  </si>
  <si>
    <t>Microsoft Excel 12.0 Αναφορά απάντησης</t>
  </si>
  <si>
    <t>Φύλλο εργασίας: [SampleDataStudents.xlsm]Φύλλο1</t>
  </si>
  <si>
    <t>Ημερομηνία δημιουργίας αναφοράς: 18/11/2018 12:36:40 μμ</t>
  </si>
  <si>
    <t>Κελί προορισμού (Τιμή)</t>
  </si>
  <si>
    <t>Κελί</t>
  </si>
  <si>
    <t>Όνομα</t>
  </si>
  <si>
    <t>Αρχική τιμή</t>
  </si>
  <si>
    <t>Τελική τιμή</t>
  </si>
  <si>
    <t>Ρυθμιζόμενα κελιά</t>
  </si>
  <si>
    <t>Περιορισμοί</t>
  </si>
  <si>
    <t>Τιμή κελιού</t>
  </si>
  <si>
    <t>Τύπος</t>
  </si>
  <si>
    <t>Κατάσταση</t>
  </si>
  <si>
    <t>Απόκλιση</t>
  </si>
  <si>
    <t>$O$51</t>
  </si>
  <si>
    <t>Total Total profit</t>
  </si>
  <si>
    <t>$K$48</t>
  </si>
  <si>
    <t>A Units</t>
  </si>
  <si>
    <t>$K$49</t>
  </si>
  <si>
    <t>B Units</t>
  </si>
  <si>
    <t>$K$50</t>
  </si>
  <si>
    <t>C Units</t>
  </si>
  <si>
    <t>$K$51</t>
  </si>
  <si>
    <t>Total Units</t>
  </si>
  <si>
    <t>$K$51&lt;=300</t>
  </si>
  <si>
    <t>Υποχρεωτικός</t>
  </si>
  <si>
    <t>$K$48&gt;=0</t>
  </si>
  <si>
    <t>Μη υποχρεωτικός</t>
  </si>
  <si>
    <t>$K$49&gt;=0</t>
  </si>
  <si>
    <t>$K$50&gt;=0</t>
  </si>
</sst>
</file>

<file path=xl/styles.xml><?xml version="1.0" encoding="utf-8"?>
<styleSheet xmlns="http://schemas.openxmlformats.org/spreadsheetml/2006/main">
  <numFmts count="2">
    <numFmt numFmtId="164" formatCode="m/d/yy;@"/>
    <numFmt numFmtId="165" formatCode="_-* #,##0.00\ [$€]_-;\-* #,##0.00\ [$€]_-;_-* &quot;-&quot;??\ [$€]_-;_-@_-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u/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24">
    <xf numFmtId="0" fontId="0" fillId="0" borderId="0" xfId="0"/>
    <xf numFmtId="164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0" xfId="0" applyNumberFormat="1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5" fontId="0" fillId="0" borderId="0" xfId="1" applyFont="1"/>
    <xf numFmtId="0" fontId="0" fillId="0" borderId="0" xfId="0" applyFill="1" applyBorder="1" applyAlignment="1"/>
    <xf numFmtId="0" fontId="0" fillId="0" borderId="10" xfId="0" applyFill="1" applyBorder="1" applyAlignment="1"/>
    <xf numFmtId="0" fontId="5" fillId="0" borderId="11" xfId="0" applyFont="1" applyFill="1" applyBorder="1" applyAlignment="1">
      <alignment horizontal="center"/>
    </xf>
    <xf numFmtId="0" fontId="0" fillId="0" borderId="13" xfId="0" applyFill="1" applyBorder="1" applyAlignment="1"/>
    <xf numFmtId="0" fontId="6" fillId="0" borderId="12" xfId="0" applyFont="1" applyFill="1" applyBorder="1" applyAlignment="1">
      <alignment horizontal="center"/>
    </xf>
    <xf numFmtId="0" fontId="0" fillId="0" borderId="14" xfId="0" applyFill="1" applyBorder="1" applyAlignment="1"/>
    <xf numFmtId="0" fontId="0" fillId="0" borderId="13" xfId="0" applyNumberFormat="1" applyFill="1" applyBorder="1" applyAlignment="1"/>
    <xf numFmtId="0" fontId="0" fillId="0" borderId="14" xfId="0" applyNumberFormat="1" applyFill="1" applyBorder="1" applyAlignment="1"/>
  </cellXfs>
  <cellStyles count="2">
    <cellStyle name="Euro" xfId="1"/>
    <cellStyle name="Κανονικό" xfId="0" builtinId="0"/>
  </cellStyles>
  <dxfs count="1">
    <dxf>
      <numFmt numFmtId="164" formatCode="m/d/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1088" refreshedDate="43411.356728819446" createdVersion="3" refreshedVersion="3" minRefreshableVersion="3" recordCount="42">
  <cacheSource type="worksheet">
    <worksheetSource name="Πίνακας1[#Όλες]"/>
  </cacheSource>
  <cacheFields count="7">
    <cacheField name="OrderDate" numFmtId="164">
      <sharedItems containsSemiMixedTypes="0" containsNonDate="0" containsDate="1" containsString="0" minDate="2016-01-06T00:00:00" maxDate="2017-12-22T00:00:00"/>
    </cacheField>
    <cacheField name="Region" numFmtId="0">
      <sharedItems count="3">
        <s v="Central"/>
        <s v="East"/>
        <s v="West"/>
      </sharedItems>
    </cacheField>
    <cacheField name="Rep" numFmtId="0">
      <sharedItems/>
    </cacheField>
    <cacheField name="Item" numFmtId="0">
      <sharedItems count="5">
        <s v="Binder"/>
        <s v="Desk"/>
        <s v="Pen"/>
        <s v="Pen Set"/>
        <s v="Pencil"/>
      </sharedItems>
    </cacheField>
    <cacheField name="Units" numFmtId="0">
      <sharedItems containsSemiMixedTypes="0" containsString="0" containsNumber="1" containsInteger="1" minValue="2" maxValue="96"/>
    </cacheField>
    <cacheField name="UnitCost" numFmtId="0">
      <sharedItems containsSemiMixedTypes="0" containsString="0" containsNumber="1" minValue="1.29" maxValue="275" count="11">
        <n v="19.989999999999998"/>
        <n v="8.99"/>
        <n v="4.99"/>
        <n v="1.99"/>
        <n v="125"/>
        <n v="275"/>
        <n v="12.49"/>
        <n v="23.95"/>
        <n v="15.99"/>
        <n v="1.29"/>
        <n v="2.99"/>
      </sharedItems>
    </cacheField>
    <cacheField name="Total" numFmtId="0">
      <sharedItems containsSemiMixedTypes="0" containsString="0" containsNumber="1" minValue="9.0299999999999994" maxValue="1879.06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d v="2016-01-23T00:00:00"/>
    <x v="0"/>
    <s v="Kivell"/>
    <x v="0"/>
    <n v="50"/>
    <x v="0"/>
    <n v="999.5"/>
  </r>
  <r>
    <d v="2016-10-05T00:00:00"/>
    <x v="0"/>
    <s v="Morgan"/>
    <x v="0"/>
    <n v="28"/>
    <x v="1"/>
    <n v="251.72"/>
  </r>
  <r>
    <d v="2017-01-15T00:00:00"/>
    <x v="0"/>
    <s v="Gill"/>
    <x v="0"/>
    <n v="46"/>
    <x v="1"/>
    <n v="413.54"/>
  </r>
  <r>
    <d v="2017-05-31T00:00:00"/>
    <x v="0"/>
    <s v="Gill"/>
    <x v="0"/>
    <n v="80"/>
    <x v="1"/>
    <n v="719.2"/>
  </r>
  <r>
    <d v="2017-11-17T00:00:00"/>
    <x v="0"/>
    <s v="Jardine"/>
    <x v="0"/>
    <n v="11"/>
    <x v="2"/>
    <n v="54.89"/>
  </r>
  <r>
    <d v="2017-12-04T00:00:00"/>
    <x v="0"/>
    <s v="Jardine"/>
    <x v="0"/>
    <n v="94"/>
    <x v="0"/>
    <n v="1879.06"/>
  </r>
  <r>
    <d v="2017-12-21T00:00:00"/>
    <x v="0"/>
    <s v="Andrews"/>
    <x v="0"/>
    <n v="28"/>
    <x v="2"/>
    <n v="139.72"/>
  </r>
  <r>
    <d v="2016-04-01T00:00:00"/>
    <x v="1"/>
    <s v="Jones"/>
    <x v="0"/>
    <n v="60"/>
    <x v="2"/>
    <n v="299.39999999999998"/>
  </r>
  <r>
    <d v="2016-06-08T00:00:00"/>
    <x v="1"/>
    <s v="Jones"/>
    <x v="0"/>
    <n v="60"/>
    <x v="1"/>
    <n v="539.4"/>
  </r>
  <r>
    <d v="2016-07-12T00:00:00"/>
    <x v="1"/>
    <s v="Howard"/>
    <x v="0"/>
    <n v="29"/>
    <x v="3"/>
    <n v="57.71"/>
  </r>
  <r>
    <d v="2016-07-29T00:00:00"/>
    <x v="1"/>
    <s v="Parent"/>
    <x v="0"/>
    <n v="81"/>
    <x v="0"/>
    <n v="1619.19"/>
  </r>
  <r>
    <d v="2017-02-18T00:00:00"/>
    <x v="1"/>
    <s v="Jones"/>
    <x v="0"/>
    <n v="4"/>
    <x v="2"/>
    <n v="19.96"/>
  </r>
  <r>
    <d v="2017-03-07T00:00:00"/>
    <x v="2"/>
    <s v="Sorvino"/>
    <x v="0"/>
    <n v="7"/>
    <x v="0"/>
    <n v="139.93"/>
  </r>
  <r>
    <d v="2017-10-14T00:00:00"/>
    <x v="2"/>
    <s v="Thompson"/>
    <x v="0"/>
    <n v="57"/>
    <x v="0"/>
    <n v="1139.43"/>
  </r>
  <r>
    <d v="2016-09-01T00:00:00"/>
    <x v="0"/>
    <s v="Smith"/>
    <x v="1"/>
    <n v="2"/>
    <x v="4"/>
    <n v="250"/>
  </r>
  <r>
    <d v="2017-06-17T00:00:00"/>
    <x v="0"/>
    <s v="Kivell"/>
    <x v="1"/>
    <n v="5"/>
    <x v="4"/>
    <n v="625"/>
  </r>
  <r>
    <d v="2017-08-24T00:00:00"/>
    <x v="2"/>
    <s v="Sorvino"/>
    <x v="1"/>
    <n v="3"/>
    <x v="5"/>
    <n v="825"/>
  </r>
  <r>
    <d v="2016-02-26T00:00:00"/>
    <x v="0"/>
    <s v="Gill"/>
    <x v="2"/>
    <n v="27"/>
    <x v="0"/>
    <n v="539.73"/>
  </r>
  <r>
    <d v="2016-10-22T00:00:00"/>
    <x v="1"/>
    <s v="Jones"/>
    <x v="2"/>
    <n v="64"/>
    <x v="1"/>
    <n v="575.36"/>
  </r>
  <r>
    <d v="2016-11-08T00:00:00"/>
    <x v="1"/>
    <s v="Parent"/>
    <x v="2"/>
    <n v="15"/>
    <x v="0"/>
    <n v="299.85000000000002"/>
  </r>
  <r>
    <d v="2017-04-27T00:00:00"/>
    <x v="1"/>
    <s v="Howard"/>
    <x v="2"/>
    <n v="96"/>
    <x v="2"/>
    <n v="479.04"/>
  </r>
  <r>
    <d v="2017-09-27T00:00:00"/>
    <x v="2"/>
    <s v="Sorvino"/>
    <x v="2"/>
    <n v="76"/>
    <x v="3"/>
    <n v="151.24"/>
  </r>
  <r>
    <d v="2016-11-25T00:00:00"/>
    <x v="0"/>
    <s v="Kivell"/>
    <x v="3"/>
    <n v="96"/>
    <x v="2"/>
    <n v="479.04"/>
  </r>
  <r>
    <d v="2017-03-24T00:00:00"/>
    <x v="0"/>
    <s v="Jardine"/>
    <x v="3"/>
    <n v="50"/>
    <x v="2"/>
    <n v="249.5"/>
  </r>
  <r>
    <d v="2017-07-21T00:00:00"/>
    <x v="0"/>
    <s v="Morgan"/>
    <x v="3"/>
    <n v="55"/>
    <x v="6"/>
    <n v="686.95"/>
  </r>
  <r>
    <d v="2017-08-07T00:00:00"/>
    <x v="0"/>
    <s v="Kivell"/>
    <x v="3"/>
    <n v="42"/>
    <x v="7"/>
    <n v="1005.9"/>
  </r>
  <r>
    <d v="2016-09-18T00:00:00"/>
    <x v="1"/>
    <s v="Jones"/>
    <x v="3"/>
    <n v="16"/>
    <x v="8"/>
    <n v="255.84"/>
  </r>
  <r>
    <d v="2016-12-29T00:00:00"/>
    <x v="1"/>
    <s v="Parent"/>
    <x v="3"/>
    <n v="74"/>
    <x v="8"/>
    <n v="1183.26"/>
  </r>
  <r>
    <d v="2017-07-04T00:00:00"/>
    <x v="1"/>
    <s v="Jones"/>
    <x v="3"/>
    <n v="62"/>
    <x v="2"/>
    <n v="309.38"/>
  </r>
  <r>
    <d v="2016-02-09T00:00:00"/>
    <x v="0"/>
    <s v="Jardine"/>
    <x v="4"/>
    <n v="36"/>
    <x v="2"/>
    <n v="179.64"/>
  </r>
  <r>
    <d v="2016-04-18T00:00:00"/>
    <x v="0"/>
    <s v="Andrews"/>
    <x v="4"/>
    <n v="75"/>
    <x v="3"/>
    <n v="149.25"/>
  </r>
  <r>
    <d v="2016-05-05T00:00:00"/>
    <x v="0"/>
    <s v="Jardine"/>
    <x v="4"/>
    <n v="90"/>
    <x v="2"/>
    <n v="449.1"/>
  </r>
  <r>
    <d v="2016-06-25T00:00:00"/>
    <x v="0"/>
    <s v="Morgan"/>
    <x v="4"/>
    <n v="90"/>
    <x v="2"/>
    <n v="449.1"/>
  </r>
  <r>
    <d v="2016-12-12T00:00:00"/>
    <x v="0"/>
    <s v="Smith"/>
    <x v="4"/>
    <n v="67"/>
    <x v="9"/>
    <n v="86.43"/>
  </r>
  <r>
    <d v="2017-04-10T00:00:00"/>
    <x v="0"/>
    <s v="Andrews"/>
    <x v="4"/>
    <n v="66"/>
    <x v="3"/>
    <n v="131.34"/>
  </r>
  <r>
    <d v="2017-05-14T00:00:00"/>
    <x v="0"/>
    <s v="Gill"/>
    <x v="4"/>
    <n v="53"/>
    <x v="9"/>
    <n v="68.37"/>
  </r>
  <r>
    <d v="2017-09-10T00:00:00"/>
    <x v="0"/>
    <s v="Gill"/>
    <x v="4"/>
    <n v="7"/>
    <x v="9"/>
    <n v="9.0299999999999994"/>
  </r>
  <r>
    <d v="2017-10-31T00:00:00"/>
    <x v="0"/>
    <s v="Andrews"/>
    <x v="4"/>
    <n v="14"/>
    <x v="9"/>
    <n v="18.059999999999999"/>
  </r>
  <r>
    <d v="2016-01-06T00:00:00"/>
    <x v="1"/>
    <s v="Jones"/>
    <x v="4"/>
    <n v="95"/>
    <x v="3"/>
    <n v="189.05"/>
  </r>
  <r>
    <d v="2016-08-15T00:00:00"/>
    <x v="1"/>
    <s v="Jones"/>
    <x v="4"/>
    <n v="35"/>
    <x v="2"/>
    <n v="174.65"/>
  </r>
  <r>
    <d v="2016-03-15T00:00:00"/>
    <x v="2"/>
    <s v="Sorvino"/>
    <x v="4"/>
    <n v="56"/>
    <x v="10"/>
    <n v="167.44"/>
  </r>
  <r>
    <d v="2016-05-22T00:00:00"/>
    <x v="2"/>
    <s v="Thompson"/>
    <x v="4"/>
    <n v="32"/>
    <x v="3"/>
    <n v="63.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Συγκεντρωτικός Πίνακας2" cacheId="1" applyNumberFormats="0" applyBorderFormats="0" applyFontFormats="0" applyPatternFormats="0" applyAlignmentFormats="0" applyWidthHeightFormats="1" dataCaption="Τιμές" updatedVersion="3" minRefreshableVersion="3" showCalcMbrs="0" useAutoFormatting="1" itemPrintTitles="1" createdVersion="3" indent="0" outline="1" outlineData="1" multipleFieldFilters="0">
  <location ref="K8:M25" firstHeaderRow="1" firstDataRow="1" firstDataCol="0"/>
  <pivotFields count="7">
    <pivotField numFmtId="164" showAll="0"/>
    <pivotField showAll="0">
      <items count="4">
        <item x="0"/>
        <item x="1"/>
        <item x="2"/>
        <item t="default"/>
      </items>
    </pivotField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>
      <items count="12">
        <item x="9"/>
        <item x="3"/>
        <item x="10"/>
        <item x="2"/>
        <item x="1"/>
        <item x="6"/>
        <item x="8"/>
        <item x="0"/>
        <item x="7"/>
        <item x="4"/>
        <item x="5"/>
        <item t="default"/>
      </items>
    </pivotField>
    <pivotField showAll="0"/>
  </pivot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Πίνακας1" displayName="Πίνακας1" ref="A1:H43" totalsRowShown="0">
  <autoFilter ref="A1:H43">
    <filterColumn colId="7"/>
  </autoFilter>
  <sortState ref="A2:G43">
    <sortCondition ref="D2:D43"/>
  </sortState>
  <tableColumns count="8">
    <tableColumn id="1" name="OrderDate" dataDxfId="0"/>
    <tableColumn id="2" name="Region"/>
    <tableColumn id="3" name="Rep"/>
    <tableColumn id="4" name="Item"/>
    <tableColumn id="5" name="Units"/>
    <tableColumn id="6" name="UnitCost"/>
    <tableColumn id="7" name="Total" dataCellStyle="Euro"/>
    <tableColumn id="8" name="Στήλη1" dataCellStyle="Eur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23"/>
  <sheetViews>
    <sheetView showGridLines="0" workbookViewId="0"/>
  </sheetViews>
  <sheetFormatPr defaultRowHeight="15"/>
  <cols>
    <col min="1" max="1" width="2.28515625" customWidth="1"/>
    <col min="2" max="2" width="6.42578125" bestFit="1" customWidth="1"/>
    <col min="3" max="3" width="15.85546875" bestFit="1" customWidth="1"/>
    <col min="4" max="5" width="12" bestFit="1" customWidth="1"/>
    <col min="6" max="6" width="16.7109375" bestFit="1" customWidth="1"/>
    <col min="7" max="7" width="12" bestFit="1" customWidth="1"/>
  </cols>
  <sheetData>
    <row r="1" spans="1:5">
      <c r="A1" s="2" t="s">
        <v>63</v>
      </c>
    </row>
    <row r="2" spans="1:5">
      <c r="A2" s="2" t="s">
        <v>64</v>
      </c>
    </row>
    <row r="3" spans="1:5">
      <c r="A3" s="2" t="s">
        <v>65</v>
      </c>
    </row>
    <row r="6" spans="1:5" ht="15.75" thickBot="1">
      <c r="A6" t="s">
        <v>66</v>
      </c>
    </row>
    <row r="7" spans="1:5" ht="15.75" thickBot="1">
      <c r="B7" s="20" t="s">
        <v>67</v>
      </c>
      <c r="C7" s="20" t="s">
        <v>68</v>
      </c>
      <c r="D7" s="20" t="s">
        <v>69</v>
      </c>
      <c r="E7" s="20" t="s">
        <v>70</v>
      </c>
    </row>
    <row r="8" spans="1:5" ht="15.75" thickBot="1">
      <c r="B8" s="19" t="s">
        <v>77</v>
      </c>
      <c r="C8" s="19" t="s">
        <v>78</v>
      </c>
      <c r="D8" s="22">
        <v>4100</v>
      </c>
      <c r="E8" s="22">
        <v>4999.9999999999991</v>
      </c>
    </row>
    <row r="11" spans="1:5" ht="15.75" thickBot="1">
      <c r="A11" t="s">
        <v>71</v>
      </c>
    </row>
    <row r="12" spans="1:5" ht="15.75" thickBot="1">
      <c r="B12" s="20" t="s">
        <v>67</v>
      </c>
      <c r="C12" s="20" t="s">
        <v>68</v>
      </c>
      <c r="D12" s="20" t="s">
        <v>69</v>
      </c>
      <c r="E12" s="20" t="s">
        <v>70</v>
      </c>
    </row>
    <row r="13" spans="1:5">
      <c r="B13" s="21" t="s">
        <v>79</v>
      </c>
      <c r="C13" s="21" t="s">
        <v>80</v>
      </c>
      <c r="D13" s="23">
        <v>100</v>
      </c>
      <c r="E13" s="23">
        <v>47.058823529411789</v>
      </c>
    </row>
    <row r="14" spans="1:5">
      <c r="B14" s="21" t="s">
        <v>81</v>
      </c>
      <c r="C14" s="21" t="s">
        <v>82</v>
      </c>
      <c r="D14" s="23">
        <v>100</v>
      </c>
      <c r="E14" s="23">
        <v>232.35294117647052</v>
      </c>
    </row>
    <row r="15" spans="1:5" ht="15.75" thickBot="1">
      <c r="B15" s="19" t="s">
        <v>83</v>
      </c>
      <c r="C15" s="19" t="s">
        <v>84</v>
      </c>
      <c r="D15" s="22">
        <v>100</v>
      </c>
      <c r="E15" s="22">
        <v>20.588235294117684</v>
      </c>
    </row>
    <row r="18" spans="1:7" ht="15.75" thickBot="1">
      <c r="A18" t="s">
        <v>72</v>
      </c>
    </row>
    <row r="19" spans="1:7" ht="15.75" thickBot="1">
      <c r="B19" s="20" t="s">
        <v>67</v>
      </c>
      <c r="C19" s="20" t="s">
        <v>68</v>
      </c>
      <c r="D19" s="20" t="s">
        <v>73</v>
      </c>
      <c r="E19" s="20" t="s">
        <v>74</v>
      </c>
      <c r="F19" s="20" t="s">
        <v>75</v>
      </c>
      <c r="G19" s="20" t="s">
        <v>76</v>
      </c>
    </row>
    <row r="20" spans="1:7">
      <c r="B20" s="21" t="s">
        <v>85</v>
      </c>
      <c r="C20" s="21" t="s">
        <v>86</v>
      </c>
      <c r="D20" s="23">
        <v>300</v>
      </c>
      <c r="E20" s="21" t="s">
        <v>87</v>
      </c>
      <c r="F20" s="21" t="s">
        <v>88</v>
      </c>
      <c r="G20" s="21">
        <v>0</v>
      </c>
    </row>
    <row r="21" spans="1:7">
      <c r="B21" s="21" t="s">
        <v>79</v>
      </c>
      <c r="C21" s="21" t="s">
        <v>80</v>
      </c>
      <c r="D21" s="23">
        <v>47.058823529411789</v>
      </c>
      <c r="E21" s="21" t="s">
        <v>89</v>
      </c>
      <c r="F21" s="21" t="s">
        <v>90</v>
      </c>
      <c r="G21" s="23">
        <v>47.058823529411789</v>
      </c>
    </row>
    <row r="22" spans="1:7">
      <c r="B22" s="21" t="s">
        <v>81</v>
      </c>
      <c r="C22" s="21" t="s">
        <v>82</v>
      </c>
      <c r="D22" s="23">
        <v>232.35294117647052</v>
      </c>
      <c r="E22" s="21" t="s">
        <v>91</v>
      </c>
      <c r="F22" s="21" t="s">
        <v>90</v>
      </c>
      <c r="G22" s="23">
        <v>232.35294117647052</v>
      </c>
    </row>
    <row r="23" spans="1:7" ht="15.75" thickBot="1">
      <c r="B23" s="19" t="s">
        <v>83</v>
      </c>
      <c r="C23" s="19" t="s">
        <v>84</v>
      </c>
      <c r="D23" s="22">
        <v>20.588235294117684</v>
      </c>
      <c r="E23" s="19" t="s">
        <v>92</v>
      </c>
      <c r="F23" s="19" t="s">
        <v>90</v>
      </c>
      <c r="G23" s="22">
        <v>20.588235294117684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Φύλλο1"/>
  <dimension ref="A1:U64"/>
  <sheetViews>
    <sheetView tabSelected="1" zoomScale="85" zoomScaleNormal="85" workbookViewId="0">
      <selection activeCell="Q51" sqref="Q51"/>
    </sheetView>
  </sheetViews>
  <sheetFormatPr defaultRowHeight="15"/>
  <cols>
    <col min="1" max="1" width="12.42578125" customWidth="1"/>
    <col min="2" max="2" width="9.28515625" customWidth="1"/>
    <col min="6" max="6" width="10.7109375" customWidth="1"/>
    <col min="7" max="7" width="11" bestFit="1" customWidth="1"/>
    <col min="8" max="8" width="15.28515625" bestFit="1" customWidth="1"/>
    <col min="11" max="11" width="18.85546875" bestFit="1" customWidth="1"/>
    <col min="12" max="12" width="17.28515625" customWidth="1"/>
    <col min="13" max="13" width="7.28515625" customWidth="1"/>
    <col min="14" max="14" width="7.42578125" customWidth="1"/>
    <col min="15" max="15" width="16" customWidth="1"/>
    <col min="16" max="17" width="8.140625" customWidth="1"/>
    <col min="18" max="18" width="33.5703125" customWidth="1"/>
    <col min="19" max="19" width="30.140625" customWidth="1"/>
    <col min="20" max="20" width="6.140625" customWidth="1"/>
    <col min="21" max="22" width="4.140625" customWidth="1"/>
    <col min="23" max="23" width="16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41</v>
      </c>
    </row>
    <row r="2" spans="1:18">
      <c r="A2" s="1">
        <v>42392</v>
      </c>
      <c r="B2" t="s">
        <v>10</v>
      </c>
      <c r="C2" t="s">
        <v>11</v>
      </c>
      <c r="D2" t="s">
        <v>12</v>
      </c>
      <c r="E2">
        <v>50</v>
      </c>
      <c r="F2">
        <v>19.989999999999998</v>
      </c>
      <c r="G2" s="15">
        <v>999.5</v>
      </c>
      <c r="H2" s="15">
        <v>340580</v>
      </c>
    </row>
    <row r="3" spans="1:18">
      <c r="A3" s="1">
        <v>42648</v>
      </c>
      <c r="B3" t="s">
        <v>10</v>
      </c>
      <c r="C3" t="s">
        <v>20</v>
      </c>
      <c r="D3" t="s">
        <v>12</v>
      </c>
      <c r="E3">
        <v>28</v>
      </c>
      <c r="F3">
        <v>8.99</v>
      </c>
      <c r="G3" s="15">
        <v>251.72</v>
      </c>
      <c r="H3" s="15">
        <v>85774</v>
      </c>
    </row>
    <row r="4" spans="1:18">
      <c r="A4" s="1">
        <v>42750</v>
      </c>
      <c r="B4" t="s">
        <v>10</v>
      </c>
      <c r="C4" t="s">
        <v>14</v>
      </c>
      <c r="D4" t="s">
        <v>12</v>
      </c>
      <c r="E4">
        <v>46</v>
      </c>
      <c r="F4">
        <v>8.99</v>
      </c>
      <c r="G4" s="15">
        <v>413.54</v>
      </c>
      <c r="H4" s="15">
        <v>140914</v>
      </c>
    </row>
    <row r="5" spans="1:18">
      <c r="A5" s="1">
        <v>42886</v>
      </c>
      <c r="B5" t="s">
        <v>10</v>
      </c>
      <c r="C5" t="s">
        <v>14</v>
      </c>
      <c r="D5" t="s">
        <v>12</v>
      </c>
      <c r="E5">
        <v>80</v>
      </c>
      <c r="F5">
        <v>8.99</v>
      </c>
      <c r="G5" s="15">
        <v>719.2</v>
      </c>
      <c r="H5" s="15">
        <v>245067</v>
      </c>
    </row>
    <row r="6" spans="1:18">
      <c r="A6" s="1">
        <v>43056</v>
      </c>
      <c r="B6" t="s">
        <v>10</v>
      </c>
      <c r="C6" t="s">
        <v>13</v>
      </c>
      <c r="D6" t="s">
        <v>12</v>
      </c>
      <c r="E6">
        <v>11</v>
      </c>
      <c r="F6">
        <v>4.99</v>
      </c>
      <c r="G6" s="15">
        <v>54.89</v>
      </c>
      <c r="H6" s="15">
        <v>18704</v>
      </c>
    </row>
    <row r="7" spans="1:18">
      <c r="A7" s="1">
        <v>43073</v>
      </c>
      <c r="B7" t="s">
        <v>10</v>
      </c>
      <c r="C7" t="s">
        <v>13</v>
      </c>
      <c r="D7" t="s">
        <v>12</v>
      </c>
      <c r="E7">
        <v>94</v>
      </c>
      <c r="F7">
        <v>19.989999999999998</v>
      </c>
      <c r="G7" s="15">
        <v>1879.06</v>
      </c>
      <c r="H7" s="15">
        <v>640290</v>
      </c>
    </row>
    <row r="8" spans="1:18">
      <c r="A8" s="1">
        <v>43090</v>
      </c>
      <c r="B8" t="s">
        <v>10</v>
      </c>
      <c r="C8" t="s">
        <v>18</v>
      </c>
      <c r="D8" t="s">
        <v>12</v>
      </c>
      <c r="E8">
        <v>28</v>
      </c>
      <c r="F8">
        <v>4.99</v>
      </c>
      <c r="G8" s="15">
        <v>139.72</v>
      </c>
      <c r="H8" s="15">
        <v>47610</v>
      </c>
      <c r="K8" s="6"/>
      <c r="L8" s="7"/>
      <c r="M8" s="8"/>
    </row>
    <row r="9" spans="1:18">
      <c r="A9" s="1">
        <v>42461</v>
      </c>
      <c r="B9" t="s">
        <v>7</v>
      </c>
      <c r="C9" t="s">
        <v>8</v>
      </c>
      <c r="D9" t="s">
        <v>12</v>
      </c>
      <c r="E9">
        <v>60</v>
      </c>
      <c r="F9">
        <v>4.99</v>
      </c>
      <c r="G9" s="15">
        <v>299.39999999999998</v>
      </c>
      <c r="H9" s="15">
        <v>102021</v>
      </c>
      <c r="K9" s="9"/>
      <c r="L9" s="10"/>
      <c r="M9" s="11"/>
    </row>
    <row r="10" spans="1:18">
      <c r="A10" s="1">
        <v>42529</v>
      </c>
      <c r="B10" t="s">
        <v>7</v>
      </c>
      <c r="C10" t="s">
        <v>8</v>
      </c>
      <c r="D10" t="s">
        <v>12</v>
      </c>
      <c r="E10">
        <v>60</v>
      </c>
      <c r="F10">
        <v>8.99</v>
      </c>
      <c r="G10" s="15">
        <v>539.4</v>
      </c>
      <c r="H10" s="15">
        <v>183801</v>
      </c>
      <c r="K10" s="9"/>
      <c r="L10" s="10"/>
      <c r="M10" s="11"/>
    </row>
    <row r="11" spans="1:18">
      <c r="A11" s="1">
        <v>42563</v>
      </c>
      <c r="B11" t="s">
        <v>7</v>
      </c>
      <c r="C11" t="s">
        <v>21</v>
      </c>
      <c r="D11" t="s">
        <v>12</v>
      </c>
      <c r="E11">
        <v>29</v>
      </c>
      <c r="F11">
        <v>1.99</v>
      </c>
      <c r="G11" s="15">
        <v>57.71</v>
      </c>
      <c r="H11" s="15">
        <v>19665</v>
      </c>
      <c r="K11" s="9"/>
      <c r="L11" s="10"/>
      <c r="M11" s="11"/>
    </row>
    <row r="12" spans="1:18">
      <c r="A12" s="1">
        <v>42580</v>
      </c>
      <c r="B12" t="s">
        <v>7</v>
      </c>
      <c r="C12" t="s">
        <v>22</v>
      </c>
      <c r="D12" t="s">
        <v>12</v>
      </c>
      <c r="E12">
        <v>81</v>
      </c>
      <c r="F12">
        <v>19.989999999999998</v>
      </c>
      <c r="G12" s="15">
        <v>1619.19</v>
      </c>
      <c r="H12" s="15">
        <v>551739</v>
      </c>
      <c r="K12" s="9"/>
      <c r="L12" s="10"/>
      <c r="M12" s="11"/>
      <c r="R12" s="15"/>
    </row>
    <row r="13" spans="1:18">
      <c r="A13" s="1">
        <v>42784</v>
      </c>
      <c r="B13" t="s">
        <v>7</v>
      </c>
      <c r="C13" t="s">
        <v>8</v>
      </c>
      <c r="D13" t="s">
        <v>12</v>
      </c>
      <c r="E13">
        <v>4</v>
      </c>
      <c r="F13">
        <v>4.99</v>
      </c>
      <c r="G13" s="15">
        <v>19.96</v>
      </c>
      <c r="H13" s="15">
        <v>6801</v>
      </c>
      <c r="K13" s="9"/>
      <c r="L13" s="10"/>
      <c r="M13" s="11"/>
    </row>
    <row r="14" spans="1:18">
      <c r="A14" s="1">
        <v>42801</v>
      </c>
      <c r="B14" s="3" t="s">
        <v>16</v>
      </c>
      <c r="C14" t="s">
        <v>17</v>
      </c>
      <c r="D14" t="s">
        <v>12</v>
      </c>
      <c r="E14">
        <v>7</v>
      </c>
      <c r="F14">
        <v>19.989999999999998</v>
      </c>
      <c r="G14" s="15">
        <v>139.93</v>
      </c>
      <c r="H14" s="15">
        <v>47681</v>
      </c>
      <c r="K14" s="9"/>
      <c r="L14" s="10"/>
      <c r="M14" s="11"/>
    </row>
    <row r="15" spans="1:18">
      <c r="A15" s="1">
        <v>43022</v>
      </c>
      <c r="B15" t="s">
        <v>16</v>
      </c>
      <c r="C15" t="s">
        <v>19</v>
      </c>
      <c r="D15" t="s">
        <v>12</v>
      </c>
      <c r="E15">
        <v>57</v>
      </c>
      <c r="F15">
        <v>19.989999999999998</v>
      </c>
      <c r="G15" s="15">
        <v>1139.43</v>
      </c>
      <c r="H15" s="15">
        <v>388261</v>
      </c>
      <c r="K15" s="9"/>
      <c r="L15" s="10"/>
      <c r="M15" s="11"/>
    </row>
    <row r="16" spans="1:18">
      <c r="A16" s="1">
        <v>42614</v>
      </c>
      <c r="B16" t="s">
        <v>10</v>
      </c>
      <c r="C16" t="s">
        <v>23</v>
      </c>
      <c r="D16" t="s">
        <v>24</v>
      </c>
      <c r="E16">
        <v>2</v>
      </c>
      <c r="F16">
        <v>125</v>
      </c>
      <c r="G16" s="15">
        <v>250</v>
      </c>
      <c r="H16" s="15">
        <v>85188</v>
      </c>
      <c r="K16" s="9"/>
      <c r="L16" s="10"/>
      <c r="M16" s="11"/>
    </row>
    <row r="17" spans="1:21">
      <c r="A17" s="1">
        <v>42903</v>
      </c>
      <c r="B17" t="s">
        <v>10</v>
      </c>
      <c r="C17" t="s">
        <v>11</v>
      </c>
      <c r="D17" t="s">
        <v>24</v>
      </c>
      <c r="E17">
        <v>5</v>
      </c>
      <c r="F17">
        <v>125</v>
      </c>
      <c r="G17" s="15">
        <v>625</v>
      </c>
      <c r="H17" s="15">
        <v>212969</v>
      </c>
      <c r="J17" s="2" t="s">
        <v>26</v>
      </c>
      <c r="K17" s="9"/>
      <c r="L17" s="10"/>
      <c r="M17" s="11"/>
    </row>
    <row r="18" spans="1:21">
      <c r="A18" s="1">
        <v>42971</v>
      </c>
      <c r="B18" t="s">
        <v>16</v>
      </c>
      <c r="C18" t="s">
        <v>17</v>
      </c>
      <c r="D18" t="s">
        <v>24</v>
      </c>
      <c r="E18">
        <v>3</v>
      </c>
      <c r="F18">
        <v>275</v>
      </c>
      <c r="G18" s="15">
        <v>825</v>
      </c>
      <c r="H18" s="15">
        <v>281119</v>
      </c>
      <c r="K18" s="9"/>
      <c r="L18" s="10"/>
      <c r="M18" s="11"/>
    </row>
    <row r="19" spans="1:21">
      <c r="A19" s="1">
        <v>42426</v>
      </c>
      <c r="B19" t="s">
        <v>10</v>
      </c>
      <c r="C19" t="s">
        <v>14</v>
      </c>
      <c r="D19" t="s">
        <v>15</v>
      </c>
      <c r="E19">
        <v>27</v>
      </c>
      <c r="F19">
        <v>19.989999999999998</v>
      </c>
      <c r="G19" s="15">
        <v>539.73</v>
      </c>
      <c r="H19" s="15">
        <v>183913</v>
      </c>
      <c r="K19" s="9"/>
      <c r="L19" s="10"/>
      <c r="M19" s="11"/>
    </row>
    <row r="20" spans="1:21">
      <c r="A20" s="1">
        <v>42665</v>
      </c>
      <c r="B20" t="s">
        <v>7</v>
      </c>
      <c r="C20" t="s">
        <v>8</v>
      </c>
      <c r="D20" t="s">
        <v>15</v>
      </c>
      <c r="E20">
        <v>64</v>
      </c>
      <c r="F20">
        <v>8.99</v>
      </c>
      <c r="G20" s="15">
        <v>575.36</v>
      </c>
      <c r="H20" s="15">
        <v>196054</v>
      </c>
      <c r="K20" s="9"/>
      <c r="L20" s="10"/>
      <c r="M20" s="11"/>
    </row>
    <row r="21" spans="1:21">
      <c r="A21" s="1">
        <v>42682</v>
      </c>
      <c r="B21" t="s">
        <v>7</v>
      </c>
      <c r="C21" t="s">
        <v>22</v>
      </c>
      <c r="D21" t="s">
        <v>15</v>
      </c>
      <c r="E21">
        <v>15</v>
      </c>
      <c r="F21">
        <v>19.989999999999998</v>
      </c>
      <c r="G21" s="15">
        <v>299.85000000000002</v>
      </c>
      <c r="H21" s="15">
        <v>102174</v>
      </c>
      <c r="K21" s="9"/>
      <c r="L21" s="10"/>
      <c r="M21" s="11"/>
    </row>
    <row r="22" spans="1:21">
      <c r="A22" s="1">
        <v>42852</v>
      </c>
      <c r="B22" t="s">
        <v>7</v>
      </c>
      <c r="C22" t="s">
        <v>21</v>
      </c>
      <c r="D22" t="s">
        <v>15</v>
      </c>
      <c r="E22">
        <v>96</v>
      </c>
      <c r="F22">
        <v>4.99</v>
      </c>
      <c r="G22" s="15">
        <v>479.04</v>
      </c>
      <c r="H22" s="15">
        <v>163233</v>
      </c>
      <c r="K22" s="9"/>
      <c r="L22" s="10"/>
      <c r="M22" s="11"/>
      <c r="R22" s="4" t="s">
        <v>4</v>
      </c>
      <c r="S22" s="1">
        <v>42392</v>
      </c>
      <c r="T22" s="4">
        <f>INDEX($A$1:$H$42, MATCH(S22,$A$1:$A$42,), MATCH(R22,$A$1:$H$1,))</f>
        <v>50</v>
      </c>
    </row>
    <row r="23" spans="1:21">
      <c r="A23" s="1">
        <v>43005</v>
      </c>
      <c r="B23" t="s">
        <v>16</v>
      </c>
      <c r="C23" t="s">
        <v>17</v>
      </c>
      <c r="D23" t="s">
        <v>15</v>
      </c>
      <c r="E23">
        <v>76</v>
      </c>
      <c r="F23">
        <v>1.99</v>
      </c>
      <c r="G23" s="15">
        <v>151.24</v>
      </c>
      <c r="H23" s="15">
        <v>51535</v>
      </c>
      <c r="K23" s="9"/>
      <c r="L23" s="10"/>
      <c r="M23" s="11"/>
    </row>
    <row r="24" spans="1:21">
      <c r="A24" s="1">
        <v>42699</v>
      </c>
      <c r="B24" t="s">
        <v>10</v>
      </c>
      <c r="C24" t="s">
        <v>11</v>
      </c>
      <c r="D24" t="s">
        <v>25</v>
      </c>
      <c r="E24">
        <v>96</v>
      </c>
      <c r="F24">
        <v>4.99</v>
      </c>
      <c r="G24" s="15">
        <v>479.04</v>
      </c>
      <c r="H24" s="15">
        <v>163233</v>
      </c>
      <c r="K24" s="9"/>
      <c r="L24" s="10"/>
      <c r="M24" s="11"/>
    </row>
    <row r="25" spans="1:21">
      <c r="A25" s="1">
        <v>42818</v>
      </c>
      <c r="B25" t="s">
        <v>10</v>
      </c>
      <c r="C25" t="s">
        <v>13</v>
      </c>
      <c r="D25" t="s">
        <v>25</v>
      </c>
      <c r="E25">
        <v>50</v>
      </c>
      <c r="F25">
        <v>4.99</v>
      </c>
      <c r="G25" s="15">
        <v>249.5</v>
      </c>
      <c r="H25" s="15">
        <v>85017</v>
      </c>
      <c r="K25" s="12"/>
      <c r="L25" s="13"/>
      <c r="M25" s="14"/>
      <c r="S25" t="s">
        <v>42</v>
      </c>
    </row>
    <row r="26" spans="1:21" ht="15.75" thickBot="1">
      <c r="A26" s="1">
        <v>42937</v>
      </c>
      <c r="B26" t="s">
        <v>10</v>
      </c>
      <c r="C26" t="s">
        <v>20</v>
      </c>
      <c r="D26" t="s">
        <v>25</v>
      </c>
      <c r="E26">
        <v>55</v>
      </c>
      <c r="F26">
        <v>12.49</v>
      </c>
      <c r="G26" s="15">
        <v>686.95</v>
      </c>
      <c r="H26" s="15">
        <v>234078</v>
      </c>
    </row>
    <row r="27" spans="1:21" ht="15.75" thickBot="1">
      <c r="A27" s="1">
        <v>42954</v>
      </c>
      <c r="B27" t="s">
        <v>10</v>
      </c>
      <c r="C27" t="s">
        <v>11</v>
      </c>
      <c r="D27" t="s">
        <v>25</v>
      </c>
      <c r="E27">
        <v>42</v>
      </c>
      <c r="F27">
        <v>23.95</v>
      </c>
      <c r="G27" s="15">
        <v>1005.9</v>
      </c>
      <c r="H27" s="15">
        <v>342760</v>
      </c>
      <c r="S27" s="18"/>
    </row>
    <row r="28" spans="1:21">
      <c r="A28" s="1">
        <v>42631</v>
      </c>
      <c r="B28" t="s">
        <v>7</v>
      </c>
      <c r="C28" t="s">
        <v>8</v>
      </c>
      <c r="D28" t="s">
        <v>25</v>
      </c>
      <c r="E28">
        <v>16</v>
      </c>
      <c r="F28">
        <v>15.99</v>
      </c>
      <c r="G28" s="15">
        <v>255.84</v>
      </c>
      <c r="H28" s="15">
        <v>87177</v>
      </c>
      <c r="O28" t="s">
        <v>1</v>
      </c>
      <c r="P28" t="s">
        <v>27</v>
      </c>
      <c r="S28" s="16" t="s">
        <v>45</v>
      </c>
      <c r="T28" s="18" t="s">
        <v>43</v>
      </c>
      <c r="U28" s="18" t="s">
        <v>44</v>
      </c>
    </row>
    <row r="29" spans="1:21">
      <c r="A29" s="1">
        <v>42733</v>
      </c>
      <c r="B29" t="s">
        <v>7</v>
      </c>
      <c r="C29" t="s">
        <v>22</v>
      </c>
      <c r="D29" t="s">
        <v>25</v>
      </c>
      <c r="E29">
        <v>74</v>
      </c>
      <c r="F29">
        <v>15.99</v>
      </c>
      <c r="G29" s="15">
        <v>1183.26</v>
      </c>
      <c r="H29" s="15">
        <v>403196</v>
      </c>
      <c r="O29" t="s">
        <v>10</v>
      </c>
      <c r="P29" t="b">
        <f>E2&gt;$R$30</f>
        <v>1</v>
      </c>
      <c r="S29" s="16" t="s">
        <v>46</v>
      </c>
      <c r="T29" s="16">
        <v>14.489999999999998</v>
      </c>
      <c r="U29" s="16">
        <v>4.99</v>
      </c>
    </row>
    <row r="30" spans="1:21">
      <c r="A30" s="1">
        <v>42920</v>
      </c>
      <c r="B30" t="s">
        <v>7</v>
      </c>
      <c r="C30" t="s">
        <v>8</v>
      </c>
      <c r="D30" t="s">
        <v>25</v>
      </c>
      <c r="E30">
        <v>62</v>
      </c>
      <c r="F30">
        <v>4.99</v>
      </c>
      <c r="G30" s="15">
        <v>309.38</v>
      </c>
      <c r="H30" s="15">
        <v>105421</v>
      </c>
      <c r="R30">
        <v>45.454000000000001</v>
      </c>
      <c r="S30" s="16" t="s">
        <v>47</v>
      </c>
      <c r="T30" s="16">
        <v>60.500000000000057</v>
      </c>
      <c r="U30" s="16">
        <v>0</v>
      </c>
    </row>
    <row r="31" spans="1:21">
      <c r="A31" s="1">
        <v>42409</v>
      </c>
      <c r="B31" t="s">
        <v>10</v>
      </c>
      <c r="C31" t="s">
        <v>13</v>
      </c>
      <c r="D31" t="s">
        <v>9</v>
      </c>
      <c r="E31">
        <v>36</v>
      </c>
      <c r="F31">
        <v>4.99</v>
      </c>
      <c r="G31" s="15">
        <v>179.64</v>
      </c>
      <c r="H31" s="15">
        <v>61212</v>
      </c>
      <c r="S31" s="16" t="s">
        <v>48</v>
      </c>
      <c r="T31" s="16">
        <v>2</v>
      </c>
      <c r="U31" s="16">
        <v>2</v>
      </c>
    </row>
    <row r="32" spans="1:21">
      <c r="A32" s="1">
        <v>42478</v>
      </c>
      <c r="B32" t="s">
        <v>10</v>
      </c>
      <c r="C32" t="s">
        <v>18</v>
      </c>
      <c r="D32" t="s">
        <v>9</v>
      </c>
      <c r="E32">
        <v>75</v>
      </c>
      <c r="F32">
        <v>1.99</v>
      </c>
      <c r="G32" s="15">
        <v>149.25</v>
      </c>
      <c r="H32" s="15">
        <v>50857</v>
      </c>
      <c r="S32" s="16" t="s">
        <v>49</v>
      </c>
      <c r="T32" s="16" t="e">
        <v>#DIV/0!</v>
      </c>
      <c r="U32" s="16"/>
    </row>
    <row r="33" spans="1:21">
      <c r="A33" s="1">
        <v>42495</v>
      </c>
      <c r="B33" t="s">
        <v>10</v>
      </c>
      <c r="C33" t="s">
        <v>13</v>
      </c>
      <c r="D33" t="s">
        <v>9</v>
      </c>
      <c r="E33">
        <v>90</v>
      </c>
      <c r="F33">
        <v>4.99</v>
      </c>
      <c r="G33" s="15">
        <v>449.1</v>
      </c>
      <c r="H33" s="15">
        <v>153031</v>
      </c>
      <c r="S33" s="16" t="s">
        <v>50</v>
      </c>
      <c r="T33" s="16">
        <v>2</v>
      </c>
      <c r="U33" s="16"/>
    </row>
    <row r="34" spans="1:21">
      <c r="A34" s="1">
        <v>42546</v>
      </c>
      <c r="B34" t="s">
        <v>10</v>
      </c>
      <c r="C34" t="s">
        <v>20</v>
      </c>
      <c r="D34" t="s">
        <v>9</v>
      </c>
      <c r="E34">
        <v>90</v>
      </c>
      <c r="F34">
        <v>4.99</v>
      </c>
      <c r="G34" s="15">
        <v>449.1</v>
      </c>
      <c r="H34" s="15">
        <v>153031</v>
      </c>
      <c r="S34" s="16" t="s">
        <v>51</v>
      </c>
      <c r="T34" s="16">
        <v>1</v>
      </c>
      <c r="U34" s="16"/>
    </row>
    <row r="35" spans="1:21">
      <c r="A35" s="1">
        <v>42716</v>
      </c>
      <c r="B35" t="s">
        <v>10</v>
      </c>
      <c r="C35" t="s">
        <v>23</v>
      </c>
      <c r="D35" t="s">
        <v>9</v>
      </c>
      <c r="E35">
        <v>67</v>
      </c>
      <c r="F35">
        <v>1.29</v>
      </c>
      <c r="G35" s="15">
        <v>86.43</v>
      </c>
      <c r="H35" s="15">
        <v>29451</v>
      </c>
      <c r="S35" s="16" t="s">
        <v>52</v>
      </c>
      <c r="T35" s="16">
        <v>1.3636363636363644</v>
      </c>
      <c r="U35" s="16"/>
    </row>
    <row r="36" spans="1:21">
      <c r="A36" s="1">
        <v>42835</v>
      </c>
      <c r="B36" t="s">
        <v>10</v>
      </c>
      <c r="C36" t="s">
        <v>18</v>
      </c>
      <c r="D36" t="s">
        <v>9</v>
      </c>
      <c r="E36">
        <v>66</v>
      </c>
      <c r="F36">
        <v>1.99</v>
      </c>
      <c r="G36" s="15">
        <v>131.34</v>
      </c>
      <c r="H36" s="15">
        <v>44754</v>
      </c>
      <c r="S36" s="16" t="s">
        <v>53</v>
      </c>
      <c r="T36" s="16">
        <v>0.20141020955373928</v>
      </c>
      <c r="U36" s="16"/>
    </row>
    <row r="37" spans="1:21">
      <c r="A37" s="1">
        <v>42869</v>
      </c>
      <c r="B37" t="s">
        <v>10</v>
      </c>
      <c r="C37" t="s">
        <v>14</v>
      </c>
      <c r="D37" t="s">
        <v>9</v>
      </c>
      <c r="E37">
        <v>53</v>
      </c>
      <c r="F37">
        <v>1.29</v>
      </c>
      <c r="G37" s="15">
        <v>68.37</v>
      </c>
      <c r="H37" s="15">
        <v>23297</v>
      </c>
      <c r="S37" s="16" t="s">
        <v>54</v>
      </c>
      <c r="T37" s="16">
        <v>6.3137515135738624</v>
      </c>
      <c r="U37" s="16"/>
    </row>
    <row r="38" spans="1:21" ht="15.75" thickBot="1">
      <c r="A38" s="1">
        <v>42988</v>
      </c>
      <c r="B38" t="s">
        <v>10</v>
      </c>
      <c r="C38" t="s">
        <v>14</v>
      </c>
      <c r="D38" t="s">
        <v>9</v>
      </c>
      <c r="E38">
        <v>7</v>
      </c>
      <c r="F38">
        <v>1.29</v>
      </c>
      <c r="G38" s="15">
        <v>9.0299999999999994</v>
      </c>
      <c r="H38" s="15">
        <v>3077</v>
      </c>
      <c r="S38" s="17" t="s">
        <v>55</v>
      </c>
      <c r="T38" s="16">
        <v>0.40282041910747857</v>
      </c>
      <c r="U38" s="16"/>
    </row>
    <row r="39" spans="1:21" ht="15.75" thickBot="1">
      <c r="A39" s="1">
        <v>43039</v>
      </c>
      <c r="B39" t="s">
        <v>10</v>
      </c>
      <c r="C39" t="s">
        <v>18</v>
      </c>
      <c r="D39" t="s">
        <v>9</v>
      </c>
      <c r="E39">
        <v>14</v>
      </c>
      <c r="F39">
        <v>1.29</v>
      </c>
      <c r="G39" s="15">
        <v>18.059999999999999</v>
      </c>
      <c r="H39" s="15">
        <v>6154</v>
      </c>
      <c r="T39" s="17">
        <v>12.70620473398699</v>
      </c>
      <c r="U39" s="17"/>
    </row>
    <row r="40" spans="1:21">
      <c r="A40" s="1">
        <v>42375</v>
      </c>
      <c r="B40" t="s">
        <v>7</v>
      </c>
      <c r="C40" t="s">
        <v>8</v>
      </c>
      <c r="D40" t="s">
        <v>9</v>
      </c>
      <c r="E40">
        <v>95</v>
      </c>
      <c r="F40">
        <v>1.99</v>
      </c>
      <c r="G40" s="15">
        <v>189.05</v>
      </c>
      <c r="H40" s="15">
        <v>64419</v>
      </c>
    </row>
    <row r="41" spans="1:21">
      <c r="A41" s="1">
        <v>42597</v>
      </c>
      <c r="B41" t="s">
        <v>7</v>
      </c>
      <c r="C41" t="s">
        <v>8</v>
      </c>
      <c r="D41" t="s">
        <v>9</v>
      </c>
      <c r="E41">
        <v>35</v>
      </c>
      <c r="F41">
        <v>4.99</v>
      </c>
      <c r="G41" s="15">
        <v>174.65</v>
      </c>
      <c r="H41" s="15">
        <v>59512</v>
      </c>
    </row>
    <row r="42" spans="1:21">
      <c r="A42" s="1">
        <v>42444</v>
      </c>
      <c r="B42" t="s">
        <v>16</v>
      </c>
      <c r="C42" t="s">
        <v>17</v>
      </c>
      <c r="D42" t="s">
        <v>9</v>
      </c>
      <c r="E42">
        <v>56</v>
      </c>
      <c r="F42">
        <v>2.99</v>
      </c>
      <c r="G42" s="15">
        <v>167.44</v>
      </c>
      <c r="H42" s="15">
        <v>57055</v>
      </c>
    </row>
    <row r="43" spans="1:21">
      <c r="A43" s="1">
        <v>42512</v>
      </c>
      <c r="B43" t="s">
        <v>16</v>
      </c>
      <c r="C43" t="s">
        <v>19</v>
      </c>
      <c r="D43" t="s">
        <v>9</v>
      </c>
      <c r="E43">
        <v>32</v>
      </c>
      <c r="F43">
        <v>1.99</v>
      </c>
      <c r="G43" s="15">
        <v>63.68</v>
      </c>
      <c r="H43" s="15">
        <v>21699</v>
      </c>
    </row>
    <row r="47" spans="1:21">
      <c r="K47" t="s">
        <v>4</v>
      </c>
      <c r="L47" t="s">
        <v>56</v>
      </c>
      <c r="M47" t="s">
        <v>59</v>
      </c>
      <c r="N47" t="s">
        <v>57</v>
      </c>
      <c r="O47" t="s">
        <v>58</v>
      </c>
    </row>
    <row r="48" spans="1:21">
      <c r="J48" t="s">
        <v>60</v>
      </c>
      <c r="K48">
        <v>47.058823529411789</v>
      </c>
      <c r="L48">
        <v>20</v>
      </c>
      <c r="M48">
        <v>7</v>
      </c>
      <c r="N48">
        <f>L48-M48</f>
        <v>13</v>
      </c>
      <c r="O48">
        <f>N48*K48</f>
        <v>611.76470588235327</v>
      </c>
    </row>
    <row r="49" spans="1:15">
      <c r="J49" t="s">
        <v>61</v>
      </c>
      <c r="K49">
        <v>232.35294117647052</v>
      </c>
      <c r="L49">
        <v>20</v>
      </c>
      <c r="M49">
        <v>2</v>
      </c>
      <c r="N49">
        <f t="shared" ref="N49:N50" si="0">L49-M49</f>
        <v>18</v>
      </c>
      <c r="O49">
        <f t="shared" ref="O49:O50" si="1">N49*K49</f>
        <v>4182.3529411764694</v>
      </c>
    </row>
    <row r="50" spans="1:15">
      <c r="J50" t="s">
        <v>62</v>
      </c>
      <c r="K50">
        <v>20.588235294117684</v>
      </c>
      <c r="L50">
        <v>20</v>
      </c>
      <c r="M50">
        <v>10</v>
      </c>
      <c r="N50">
        <f t="shared" si="0"/>
        <v>10</v>
      </c>
      <c r="O50">
        <f t="shared" si="1"/>
        <v>205.88235294117683</v>
      </c>
    </row>
    <row r="51" spans="1:15">
      <c r="J51" t="s">
        <v>6</v>
      </c>
      <c r="K51">
        <f>SUM(K48:K50)</f>
        <v>300</v>
      </c>
      <c r="O51">
        <f>SUM(O48:O50)</f>
        <v>4999.9999999999991</v>
      </c>
    </row>
    <row r="52" spans="1:15">
      <c r="A52" s="5" t="s">
        <v>40</v>
      </c>
    </row>
    <row r="53" spans="1:15">
      <c r="A53" t="s">
        <v>28</v>
      </c>
    </row>
    <row r="54" spans="1:15">
      <c r="A54" t="s">
        <v>29</v>
      </c>
    </row>
    <row r="55" spans="1:15">
      <c r="A55" t="s">
        <v>30</v>
      </c>
    </row>
    <row r="56" spans="1:15">
      <c r="A56" t="s">
        <v>31</v>
      </c>
    </row>
    <row r="57" spans="1:15">
      <c r="A57" t="s">
        <v>32</v>
      </c>
    </row>
    <row r="58" spans="1:15">
      <c r="A58" t="s">
        <v>33</v>
      </c>
    </row>
    <row r="59" spans="1:15">
      <c r="A59" t="s">
        <v>34</v>
      </c>
    </row>
    <row r="60" spans="1:15">
      <c r="A60" t="s">
        <v>35</v>
      </c>
    </row>
    <row r="61" spans="1:15">
      <c r="A61" t="s">
        <v>36</v>
      </c>
    </row>
    <row r="62" spans="1:15">
      <c r="A62" t="s">
        <v>37</v>
      </c>
    </row>
    <row r="63" spans="1:15">
      <c r="A63" t="s">
        <v>38</v>
      </c>
    </row>
    <row r="64" spans="1:15">
      <c r="A64" t="s">
        <v>39</v>
      </c>
    </row>
  </sheetData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Φύλλο2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3</vt:i4>
      </vt:variant>
      <vt:variant>
        <vt:lpstr>Περιοχές με ονόματα</vt:lpstr>
      </vt:variant>
      <vt:variant>
        <vt:i4>3</vt:i4>
      </vt:variant>
    </vt:vector>
  </HeadingPairs>
  <TitlesOfParts>
    <vt:vector size="6" baseType="lpstr">
      <vt:lpstr>Αναφορά απάντησης 1</vt:lpstr>
      <vt:lpstr>Φύλλο1</vt:lpstr>
      <vt:lpstr>Φύλλο2</vt:lpstr>
      <vt:lpstr>Cost</vt:lpstr>
      <vt:lpstr>Φύλλο1!Criteria</vt:lpstr>
      <vt:lpstr>UnitCost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Vergados</dc:creator>
  <cp:lastModifiedBy>1088</cp:lastModifiedBy>
  <cp:lastPrinted>2018-10-30T07:01:08Z</cp:lastPrinted>
  <dcterms:created xsi:type="dcterms:W3CDTF">2018-10-10T20:25:23Z</dcterms:created>
  <dcterms:modified xsi:type="dcterms:W3CDTF">2018-11-18T11:00:13Z</dcterms:modified>
</cp:coreProperties>
</file>